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90" windowWidth="20730" windowHeight="11760"/>
  </bookViews>
  <sheets>
    <sheet name="BoM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D39" i="1" l="1"/>
</calcChain>
</file>

<file path=xl/comments1.xml><?xml version="1.0" encoding="utf-8"?>
<comments xmlns="http://schemas.openxmlformats.org/spreadsheetml/2006/main">
  <authors>
    <author>Rowan Gifford</author>
  </authors>
  <commentList>
    <comment ref="C18" authorId="0">
      <text>
        <r>
          <rPr>
            <b/>
            <sz val="9"/>
            <color indexed="81"/>
            <rFont val="Tahoma"/>
            <family val="2"/>
          </rPr>
          <t>Rowan Gifford:</t>
        </r>
        <r>
          <rPr>
            <sz val="9"/>
            <color indexed="81"/>
            <rFont val="Tahoma"/>
            <family val="2"/>
          </rPr>
          <t xml:space="preserve">
Added 3rd June 2014</t>
        </r>
      </text>
    </comment>
  </commentList>
</comments>
</file>

<file path=xl/sharedStrings.xml><?xml version="1.0" encoding="utf-8"?>
<sst xmlns="http://schemas.openxmlformats.org/spreadsheetml/2006/main" count="277" uniqueCount="182">
  <si>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</si>
  <si>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</si>
  <si>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</si>
  <si>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</si>
  <si>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</si>
  <si>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</si>
  <si>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</si>
  <si>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</si>
  <si>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Project components for 1 prototype</t>
  </si>
  <si>
    <t>Total:</t>
  </si>
  <si>
    <t>http://www.digikey.com/product-detail/en/W5100/1278-1002-ND/3829647</t>
  </si>
  <si>
    <t>WIZnet</t>
  </si>
  <si>
    <t>W5100</t>
  </si>
  <si>
    <t>IC TCP/IP+MAC+PHY CONTROLLER</t>
  </si>
  <si>
    <t>80-LQFP (10x10)</t>
  </si>
  <si>
    <t>NRF24L01</t>
  </si>
  <si>
    <t>Nordic</t>
  </si>
  <si>
    <t>From ebay (look for 2 PCS NRF24L01 2.4GHz)</t>
  </si>
  <si>
    <t>http://www.digikey.com/product-detail/en/ATMEGA32U4-AUR/ATMEGA32U4-AURCT-ND/3440960</t>
  </si>
  <si>
    <t>Atmel</t>
  </si>
  <si>
    <t>ATMEGA32U4-AUR</t>
  </si>
  <si>
    <t>IC MCU 8BIT 32KB FLASH 44TQFP</t>
  </si>
  <si>
    <t>44-TQFP</t>
  </si>
  <si>
    <t>http://www.digikey.com/product-detail/en/10103594-0001LF/609-4050-1-ND/2350357</t>
  </si>
  <si>
    <t>J1</t>
  </si>
  <si>
    <t>CONNECTOR RJ45</t>
  </si>
  <si>
    <t>FCI</t>
  </si>
  <si>
    <t>10103594-0001LF</t>
  </si>
  <si>
    <t>CONN RCPT STD MICRO USB TYPE B</t>
  </si>
  <si>
    <t>http://www.digikey.com/product-detail/en/AP7333-33SAG-7/AP7333-33SAG-7DICT-ND/2270852</t>
  </si>
  <si>
    <t>Diodes Inc</t>
  </si>
  <si>
    <t>AP7333-33SAG-7</t>
  </si>
  <si>
    <t>IC REG LDO 3.3V 0.3A SOT23-3</t>
  </si>
  <si>
    <t>SOT-23-3</t>
  </si>
  <si>
    <t>http://www.digikey.com/product-detail/en/2N7002,215/568-1369-1-ND/763366</t>
  </si>
  <si>
    <t>http://www.digikey.com/product-detail/en/ABLS-8.000MHZ-B2-T/535-9089-1-ND/675606</t>
  </si>
  <si>
    <t>http://www.digikey.com/product-detail/en/ABLS-25.000MHZ-B4-F-T/535-10235-1-ND/2184270</t>
  </si>
  <si>
    <t>NXP Semiconductors</t>
  </si>
  <si>
    <t>2N7002,215</t>
  </si>
  <si>
    <t>MOSFET N-CH 60V 300MA SOT-23</t>
  </si>
  <si>
    <t>TO-236AB</t>
  </si>
  <si>
    <t>Abracon Corporation</t>
  </si>
  <si>
    <t>ABLS-8.000MHZ-B2-T</t>
  </si>
  <si>
    <t>HC49/US</t>
  </si>
  <si>
    <t>ABLS-25.000MHZ-B4-F-T</t>
  </si>
  <si>
    <t>U3</t>
  </si>
  <si>
    <t>U1</t>
  </si>
  <si>
    <t>U2</t>
  </si>
  <si>
    <t>U4</t>
  </si>
  <si>
    <t>U5</t>
  </si>
  <si>
    <t>CON1</t>
  </si>
  <si>
    <t>X1</t>
  </si>
  <si>
    <t>X2</t>
  </si>
  <si>
    <t>Q1</t>
  </si>
  <si>
    <t>BOX</t>
  </si>
  <si>
    <t>http://www.digikey.com/product-detail/en/67996-206HLF/609-3210-ND/1878485</t>
  </si>
  <si>
    <t>CON2</t>
  </si>
  <si>
    <t>http://www.digikey.com/product-detail/en/BLM18KG601SN1D/490-5258-1-ND/1982781</t>
  </si>
  <si>
    <t>FB1 FB2 FB3</t>
  </si>
  <si>
    <t>http://www.digikey.com/product-detail/en/C1608C0G1H120J080AA/445-1270-1-ND/567672</t>
  </si>
  <si>
    <t>C26 C27</t>
  </si>
  <si>
    <t>C9 C10</t>
  </si>
  <si>
    <t>http://www.digikey.com/product-detail/en/C1608C0G1H180J080AA/445-1272-1-ND/567674</t>
  </si>
  <si>
    <t>http://www.digikey.com/product-detail/en/C0603C103K5RACTU/399-1091-1-ND/411366</t>
  </si>
  <si>
    <t>C12</t>
  </si>
  <si>
    <t>http://www.digikey.com/product-detail/en/GRM188R71H104KA93D/490-1519-1-ND/587854</t>
  </si>
  <si>
    <t>http://www.digikey.com/product-detail/en/EMK107B7105KA-T/587-1241-1-ND/931018</t>
  </si>
  <si>
    <t>C1 C2 C7 C13 C14 C15 C16 C17 C18 C19 C20 C36 C39</t>
  </si>
  <si>
    <t>http://www.digikey.com/product-detail/en/06036D106MAT2A/478-5318-1-ND/1950985</t>
  </si>
  <si>
    <t>C11 C21 C24 C31 C32</t>
  </si>
  <si>
    <t>http://www.digikey.com/product-detail/en/RC0603FR-0722RL/311-22.0HRCT-ND/730002</t>
  </si>
  <si>
    <t>http://www.digikey.com/product-detail/en/ERJ-3EKF3000V/P300HCT-ND/1746756</t>
  </si>
  <si>
    <t>R15</t>
  </si>
  <si>
    <t>http://www.digikey.com/product-detail/en/ERJ-3EKF1001V/P1.00KHCT-ND/198071</t>
  </si>
  <si>
    <t>http://www.digikey.com/product-detail/en/ERJ-3EKF1002V/P10.0KHCT-ND/198102</t>
  </si>
  <si>
    <t>http://www.digikey.com/product-detail/en/ERJ-3EKF1202V/P12.0KHCT-ND/1746728</t>
  </si>
  <si>
    <t>R9</t>
  </si>
  <si>
    <t>http://www.digikey.com/product-detail/en/RC0603FR-071ML/311-1.00MHRCT-ND/729791</t>
  </si>
  <si>
    <t>R8</t>
  </si>
  <si>
    <t>CRYSTAL 8MHZ 18PF SMD</t>
  </si>
  <si>
    <t>CRYSTAL 25MHZ 18PF SMD</t>
  </si>
  <si>
    <t>67996-206HLF</t>
  </si>
  <si>
    <t>CONN HEADER 6POS .100 STR 15AU</t>
  </si>
  <si>
    <t>TDK Corporation</t>
  </si>
  <si>
    <t>C1608C0G1H120J080AA</t>
  </si>
  <si>
    <t>CAP CER 12PF 50V 5% NP0 0603</t>
  </si>
  <si>
    <t>0603 (1608 Metric)</t>
  </si>
  <si>
    <t>Murata Electronics North America</t>
  </si>
  <si>
    <t>BLM18KG601SN1D</t>
  </si>
  <si>
    <t>FERRITE CHIP 600 OHM 1300MA 0603</t>
  </si>
  <si>
    <t>C1608C0G1H180J080AA</t>
  </si>
  <si>
    <t>CAP CER 18PF 50V 5% NP0 0603</t>
  </si>
  <si>
    <t>Kemet</t>
  </si>
  <si>
    <t>C0603C103K5RACTU</t>
  </si>
  <si>
    <t>CAP CER 10000PF 50V 10% X7R 0603</t>
  </si>
  <si>
    <t>GRM188R71H104KA93D</t>
  </si>
  <si>
    <t>CAP CER 0.1UF 50V 10% X7R 0603</t>
  </si>
  <si>
    <t>Taiyo Yuden</t>
  </si>
  <si>
    <t>EMK107B7105KA-T</t>
  </si>
  <si>
    <t>CAP CER 1UF 16V 10% X7R 0603</t>
  </si>
  <si>
    <t>AVX Corporation</t>
  </si>
  <si>
    <t>06036D106MAT2A</t>
  </si>
  <si>
    <t>CAP CER 10UF 6.3V 20% X5R 0603</t>
  </si>
  <si>
    <t>Yageo</t>
  </si>
  <si>
    <t>RC0603FR-0722RL</t>
  </si>
  <si>
    <t>RES 22.0 OHM 1/10W 1% 0603 SMD</t>
  </si>
  <si>
    <t>Panasonic Electronic Components</t>
  </si>
  <si>
    <t>ERJ-3EKF3000V</t>
  </si>
  <si>
    <t>RES 300 OHM 1/10W 1% 0603 SMD</t>
  </si>
  <si>
    <t>ERJ-3EKF1001V</t>
  </si>
  <si>
    <t>RES 1K OHM 1/10W 1% 0603 SMD</t>
  </si>
  <si>
    <t>ERJ-3EKF1002V</t>
  </si>
  <si>
    <t>RES 10K OHM 1/10W 1% 0603 SMD</t>
  </si>
  <si>
    <t>ERJ-3EKF1202V</t>
  </si>
  <si>
    <t>RES 12K OHM 1/10W 1% 0603 SMD</t>
  </si>
  <si>
    <t>RC0603FR-071ML</t>
  </si>
  <si>
    <t>RES 1.00M OHM 1/10W 1% 0603 SMD</t>
  </si>
  <si>
    <t>R11 R13 R14</t>
  </si>
  <si>
    <t>C3 C4 C5 C6 C8 C22 C23 C25 C28 C29 C30 C33 C34 C35 C37 C38 C40 C41 C42</t>
  </si>
  <si>
    <t>http://www.digikey.com/product-detail/en/RC0603FR-0749R9L/311-49.9HRCT-ND/730211</t>
  </si>
  <si>
    <t>R17 R18 R19 R20</t>
  </si>
  <si>
    <t>RC0603FR-0749R9L</t>
  </si>
  <si>
    <t>RES 49.9 OHM 1/10W 1% 0603 SMD</t>
  </si>
  <si>
    <t>NRF24L01+ RF module</t>
  </si>
  <si>
    <t>SW1</t>
  </si>
  <si>
    <t>SWITCH TACTILE SPST-NO 0.05A 12V</t>
  </si>
  <si>
    <t>FSM16JH</t>
  </si>
  <si>
    <t>TE Connectivity</t>
  </si>
  <si>
    <t>http://www.digikey.com/product-detail/en/FSM16JH/450-1643-ND/1632529</t>
  </si>
  <si>
    <t>Revision Log</t>
  </si>
  <si>
    <t>Engineer</t>
  </si>
  <si>
    <t>Date</t>
  </si>
  <si>
    <t>Revision</t>
  </si>
  <si>
    <t>Changes</t>
  </si>
  <si>
    <t>3rd June 2014</t>
  </si>
  <si>
    <t>3rd July 2014</t>
  </si>
  <si>
    <t>LCD COG CHARCTER 20x4 STN BLUE</t>
  </si>
  <si>
    <t>Raystar</t>
  </si>
  <si>
    <t>TH</t>
  </si>
  <si>
    <t>RX2004A-BIW</t>
  </si>
  <si>
    <t>http://octopart.com/rx2004a-biw-raystar-30865298</t>
  </si>
  <si>
    <t>R1 R2</t>
  </si>
  <si>
    <t>R7, R16</t>
  </si>
  <si>
    <t>R3 R4 R5 R6 R10 R12, R21, R22</t>
  </si>
  <si>
    <t>Changed U4 to RX2004-BIW character display. Added R7 R16 LED backlight resistors, R21 R22 I2C Pullups</t>
  </si>
  <si>
    <t>RES 66.5 OHM 1/10W 1% 0603 SMD</t>
  </si>
  <si>
    <t>http://www.digikey.com/product-detail/en/RC0603FR-0766R5L/311-66.5HRTR-ND/727347</t>
  </si>
  <si>
    <t>RC0603FR-0766R5L</t>
  </si>
  <si>
    <t>Added item 26, SW1</t>
  </si>
  <si>
    <t>17th May 2014</t>
  </si>
  <si>
    <t>TH/SMD</t>
  </si>
  <si>
    <t>Customer Supplied?</t>
  </si>
  <si>
    <t>Component Fitted?</t>
  </si>
  <si>
    <t>No</t>
  </si>
  <si>
    <t>Yes</t>
  </si>
  <si>
    <t>SPACER</t>
  </si>
  <si>
    <t>SCREW</t>
  </si>
  <si>
    <t>ABS Enclosure - CNC modified</t>
  </si>
  <si>
    <t>ROUND SPACER M3 NYLON 3MM</t>
  </si>
  <si>
    <t>R30-6700394</t>
  </si>
  <si>
    <t>Harwin Inc.</t>
  </si>
  <si>
    <t>http://www.digikey.co.uk/product-detail/en/R30-6700394/952-1526-ND/2264507</t>
  </si>
  <si>
    <t>Polycase</t>
  </si>
  <si>
    <t>http://www.polycase.com/sl-42f</t>
  </si>
  <si>
    <t>SL-42FXXT</t>
  </si>
  <si>
    <t>SCREWS-HL1-BR</t>
  </si>
  <si>
    <t>Enclosure/PCB 4x1 blk thread forming screw</t>
  </si>
  <si>
    <t>http://www.digikey.com/product-search/en?KeyWords=RB1-125BAG1A&amp;WT.z_header=search_go</t>
  </si>
  <si>
    <t>RB1-125BAG1A</t>
  </si>
  <si>
    <t>Wiznet</t>
  </si>
  <si>
    <t>Added U6 EEPROM, Mechanical spacers, changed enclosure and re-order</t>
  </si>
  <si>
    <t>RG</t>
  </si>
  <si>
    <t>Sensor Station BOM</t>
  </si>
  <si>
    <t>Version 1.2 (RG)</t>
  </si>
  <si>
    <t>Date 22/05/2015</t>
  </si>
  <si>
    <t>U6</t>
  </si>
  <si>
    <t>SOT-23-5</t>
  </si>
  <si>
    <t>24AA02E48T-I/OT</t>
  </si>
  <si>
    <t>Microchip</t>
  </si>
  <si>
    <t>http://www.digikey.com/product-detail/en/24AA02E48T-I%2FOT/24AA02E48T-I%2FOTCT-ND/2003468</t>
  </si>
  <si>
    <t>I2C EEPROM 2KBIT MAC</t>
  </si>
  <si>
    <t>Mechanical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</si>
</sst>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auto="1"/>
      </top>
      <bottom/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5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/>
    </xf>
    <xf numFmtId="0" fontId="6" fillId="2" borderId="1" xfId="1" applyFont="1" applyFill="1" applyBorder="1" applyAlignment="1">
      <alignment horizontal="center" vertical="center" wrapText="1"/>
    </xf>
    <xf numFmtId="0" fontId="4" fillId="0" borderId="12" xfId="2" applyBorder="1" applyAlignment="1" applyProtection="1">
      <alignment horizontal="center" vertical="center"/>
    </xf>
    <xf numFmtId="0" fontId="7" fillId="2" borderId="1" xfId="1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/>
    </xf>
    <xf numFmtId="0" fontId="9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0" fontId="9" fillId="0" borderId="0" xfId="0" applyFont="1"/>
    <xf numFmtId="0" fontId="9" fillId="0" borderId="0" xfId="0" applyFont="1" applyBorder="1"/>
    <xf numFmtId="0" fontId="0" fillId="0" borderId="0" xfId="0" applyAlignment="1">
      <alignment horizontal="left"/>
    </xf>
    <xf numFmtId="0" fontId="1" fillId="0" borderId="0" xfId="0" applyFont="1" applyBorder="1" applyAlignment="1">
      <alignment horizontal="center" vertical="center"/>
    </xf>
    <xf numFmtId="0" fontId="6" fillId="2" borderId="15" xfId="1" applyFont="1" applyFill="1" applyBorder="1" applyAlignment="1">
      <alignment horizontal="center" vertical="center" wrapText="1"/>
    </xf>
    <xf numFmtId="0" fontId="4" fillId="2" borderId="16" xfId="2" applyFill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17" xfId="0" applyBorder="1"/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67996-206HLF/609-3210-ND/1878485" TargetMode="External"/><Relationship Id="rId13" Type="http://schemas.openxmlformats.org/officeDocument/2006/relationships/hyperlink" Target="http://www.digikey.com/product-detail/en/GRM188R71H104KA93D/490-1519-1-ND/587854" TargetMode="External"/><Relationship Id="rId18" Type="http://schemas.openxmlformats.org/officeDocument/2006/relationships/hyperlink" Target="http://www.digikey.com/product-detail/en/ERJ-3EKF1002V/P10.0KHCT-ND/198102" TargetMode="External"/><Relationship Id="rId26" Type="http://schemas.openxmlformats.org/officeDocument/2006/relationships/hyperlink" Target="http://www.digikey.com/product-detail/en/RC0603FR-0766R5L/311-66.5HRTR-ND/727347" TargetMode="External"/><Relationship Id="rId3" Type="http://schemas.openxmlformats.org/officeDocument/2006/relationships/hyperlink" Target="http://www.digikey.com/product-detail/en/10103594-0001LF/609-4050-1-ND/2350357" TargetMode="External"/><Relationship Id="rId21" Type="http://schemas.openxmlformats.org/officeDocument/2006/relationships/hyperlink" Target="http://www.digikey.com/product-detail/en/EMK107B7105KA-T/587-1241-1-ND/931018" TargetMode="External"/><Relationship Id="rId7" Type="http://schemas.openxmlformats.org/officeDocument/2006/relationships/hyperlink" Target="http://www.digikey.com/product-detail/en/ABLS-25.000MHZ-B4-F-T/535-10235-1-ND/2184270" TargetMode="External"/><Relationship Id="rId12" Type="http://schemas.openxmlformats.org/officeDocument/2006/relationships/hyperlink" Target="http://www.digikey.com/product-detail/en/C0603C103K5RACTU/399-1091-1-ND/411366" TargetMode="External"/><Relationship Id="rId17" Type="http://schemas.openxmlformats.org/officeDocument/2006/relationships/hyperlink" Target="http://www.digikey.com/product-detail/en/ERJ-3EKF1001V/P1.00KHCT-ND/198071" TargetMode="External"/><Relationship Id="rId25" Type="http://schemas.openxmlformats.org/officeDocument/2006/relationships/hyperlink" Target="http://octopart.com/rx2004a-biw-raystar-30865298" TargetMode="External"/><Relationship Id="rId33" Type="http://schemas.openxmlformats.org/officeDocument/2006/relationships/comments" Target="../comments1.xml"/><Relationship Id="rId2" Type="http://schemas.openxmlformats.org/officeDocument/2006/relationships/hyperlink" Target="http://www.digikey.com/product-detail/en/ATMEGA32U4-AUR/ATMEGA32U4-AURCT-ND/3440960" TargetMode="External"/><Relationship Id="rId16" Type="http://schemas.openxmlformats.org/officeDocument/2006/relationships/hyperlink" Target="http://www.digikey.com/product-detail/en/ERJ-3EKF3000V/P300HCT-ND/1746756" TargetMode="External"/><Relationship Id="rId20" Type="http://schemas.openxmlformats.org/officeDocument/2006/relationships/hyperlink" Target="http://www.digikey.com/product-detail/en/RC0603FR-071ML/311-1.00MHRCT-ND/729791" TargetMode="External"/><Relationship Id="rId29" Type="http://schemas.openxmlformats.org/officeDocument/2006/relationships/hyperlink" Target="http://www.polycase.com/sl-42f" TargetMode="External"/><Relationship Id="rId1" Type="http://schemas.openxmlformats.org/officeDocument/2006/relationships/hyperlink" Target="http://www.digikey.com/product-detail/en/W5100/1278-1002-ND/3829647" TargetMode="External"/><Relationship Id="rId6" Type="http://schemas.openxmlformats.org/officeDocument/2006/relationships/hyperlink" Target="http://www.digikey.com/product-detail/en/ABLS-8.000MHZ-B2-T/535-9089-1-ND/675606" TargetMode="External"/><Relationship Id="rId11" Type="http://schemas.openxmlformats.org/officeDocument/2006/relationships/hyperlink" Target="http://www.digikey.com/product-detail/en/C1608C0G1H180J080AA/445-1272-1-ND/567674" TargetMode="External"/><Relationship Id="rId24" Type="http://schemas.openxmlformats.org/officeDocument/2006/relationships/hyperlink" Target="http://www.digikey.com/product-detail/en/FSM16JH/450-1643-ND/1632529" TargetMode="External"/><Relationship Id="rId32" Type="http://schemas.openxmlformats.org/officeDocument/2006/relationships/vmlDrawing" Target="../drawings/vmlDrawing1.vml"/><Relationship Id="rId5" Type="http://schemas.openxmlformats.org/officeDocument/2006/relationships/hyperlink" Target="http://www.digikey.com/product-detail/en/2N7002,215/568-1369-1-ND/763366" TargetMode="External"/><Relationship Id="rId15" Type="http://schemas.openxmlformats.org/officeDocument/2006/relationships/hyperlink" Target="http://www.digikey.com/product-detail/en/RC0603FR-0722RL/311-22.0HRCT-ND/730002" TargetMode="External"/><Relationship Id="rId23" Type="http://schemas.openxmlformats.org/officeDocument/2006/relationships/hyperlink" Target="http://www.digikey.com/product-detail/en/RC0603FR-0749R9L/311-49.9HRCT-ND/730211" TargetMode="External"/><Relationship Id="rId28" Type="http://schemas.openxmlformats.org/officeDocument/2006/relationships/hyperlink" Target="http://www.polycase.com/sl-42f" TargetMode="External"/><Relationship Id="rId10" Type="http://schemas.openxmlformats.org/officeDocument/2006/relationships/hyperlink" Target="http://www.digikey.com/product-detail/en/C1608C0G1H120J080AA/445-1270-1-ND/567672" TargetMode="External"/><Relationship Id="rId19" Type="http://schemas.openxmlformats.org/officeDocument/2006/relationships/hyperlink" Target="http://www.digikey.com/product-detail/en/ERJ-3EKF1202V/P12.0KHCT-ND/1746728" TargetMode="External"/><Relationship Id="rId31" Type="http://schemas.openxmlformats.org/officeDocument/2006/relationships/printerSettings" Target="../printerSettings/printerSettings1.bin"/><Relationship Id="rId4" Type="http://schemas.openxmlformats.org/officeDocument/2006/relationships/hyperlink" Target="http://www.digikey.com/product-detail/en/AP7333-33SAG-7/AP7333-33SAG-7DICT-ND/2270852" TargetMode="External"/><Relationship Id="rId9" Type="http://schemas.openxmlformats.org/officeDocument/2006/relationships/hyperlink" Target="http://www.digikey.com/product-detail/en/BLM18KG601SN1D/490-5258-1-ND/1982781" TargetMode="External"/><Relationship Id="rId14" Type="http://schemas.openxmlformats.org/officeDocument/2006/relationships/hyperlink" Target="http://www.digikey.com/product-detail/en/06036D106MAT2A/478-5318-1-ND/1950985" TargetMode="External"/><Relationship Id="rId22" Type="http://schemas.openxmlformats.org/officeDocument/2006/relationships/hyperlink" Target="http://www.digikey.com/product-search/en?KeyWords=RB1-125BAG1A&amp;WT.z_header=search_go" TargetMode="External"/><Relationship Id="rId27" Type="http://schemas.openxmlformats.org/officeDocument/2006/relationships/hyperlink" Target="http://www.digikey.co.uk/product-detail/en/R30-6700394/952-1526-ND/2264507" TargetMode="External"/><Relationship Id="rId30" Type="http://schemas.openxmlformats.org/officeDocument/2006/relationships/hyperlink" Target="http://www.digikey.com/product-detail/en/24AA02E48T-I%2FOT/24AA02E48T-I%2FOTCT-ND/200346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2:M46"/>
  <sheetViews>
    <sheetView tabSelected="1" topLeftCell="A22" zoomScale="85" zoomScaleNormal="85" workbookViewId="0">
      <selection activeCell="J39" sqref="J39"/>
    </sheetView>
  </sheetViews>
  <sheetFormatPr defaultColWidth="11.42578125" defaultRowHeight="15" x14ac:dyDescent="0.2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36.5703125" customWidth="1"/>
    <col min="6" max="6" width="28.85546875" customWidth="1"/>
    <col min="7" max="7" width="28.42578125" customWidth="1"/>
    <col min="8" max="9" width="13.28515625" customWidth="1"/>
    <col min="10" max="10" width="16.140625" customWidth="1"/>
    <col min="11" max="11" width="111.42578125" bestFit="1" customWidth="1"/>
  </cols>
  <sheetData>
    <row r="2" spans="1:13" ht="23.25" customHeight="1" x14ac:dyDescent="0.35">
      <c r="B2" s="30" t="s">
        <v>8</v>
      </c>
      <c r="C2" s="30"/>
      <c r="D2" s="30"/>
      <c r="E2" s="30"/>
      <c r="F2" s="30"/>
      <c r="G2" s="30"/>
      <c r="H2" s="30"/>
      <c r="I2" s="30"/>
      <c r="J2" s="30"/>
      <c r="K2" s="30"/>
      <c r="L2" s="1"/>
      <c r="M2" s="1"/>
    </row>
    <row r="3" spans="1:13" x14ac:dyDescent="0.25">
      <c r="B3" s="2"/>
      <c r="C3" s="33" t="s">
        <v>172</v>
      </c>
      <c r="D3" s="2"/>
      <c r="E3" s="2"/>
      <c r="F3" s="2"/>
      <c r="G3" s="2"/>
      <c r="H3" s="2"/>
      <c r="I3" s="2"/>
      <c r="J3" s="2"/>
      <c r="K3" s="2"/>
    </row>
    <row r="4" spans="1:13" x14ac:dyDescent="0.25">
      <c r="B4" s="2"/>
      <c r="C4" s="2" t="s">
        <v>173</v>
      </c>
      <c r="D4" s="2"/>
      <c r="E4" s="2"/>
      <c r="F4" s="2"/>
      <c r="G4" s="2"/>
      <c r="H4" s="2"/>
      <c r="I4" s="2"/>
      <c r="J4" s="2"/>
      <c r="K4" s="2"/>
    </row>
    <row r="5" spans="1:13" x14ac:dyDescent="0.25">
      <c r="B5" s="2"/>
      <c r="C5" s="2" t="s">
        <v>174</v>
      </c>
      <c r="D5" s="2"/>
      <c r="E5" s="2"/>
      <c r="F5" s="2"/>
      <c r="G5" s="2"/>
      <c r="H5" s="2"/>
      <c r="I5" s="2"/>
      <c r="J5" s="2"/>
      <c r="K5" s="2"/>
    </row>
    <row r="6" spans="1:13" ht="15.75" thickBot="1" x14ac:dyDescent="0.3"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ht="28.5" customHeight="1" x14ac:dyDescent="0.25">
      <c r="B7" s="5" t="s">
        <v>0</v>
      </c>
      <c r="C7" s="14" t="s">
        <v>7</v>
      </c>
      <c r="D7" s="6" t="s">
        <v>1</v>
      </c>
      <c r="E7" s="6" t="s">
        <v>2</v>
      </c>
      <c r="F7" s="6" t="s">
        <v>3</v>
      </c>
      <c r="G7" s="6" t="s">
        <v>4</v>
      </c>
      <c r="H7" s="6" t="s">
        <v>151</v>
      </c>
      <c r="I7" s="6" t="s">
        <v>152</v>
      </c>
      <c r="J7" s="6" t="s">
        <v>6</v>
      </c>
      <c r="K7" s="7" t="s">
        <v>5</v>
      </c>
    </row>
    <row r="8" spans="1:13" x14ac:dyDescent="0.25">
      <c r="A8" s="4"/>
      <c r="B8" s="10">
        <v>1</v>
      </c>
      <c r="C8" s="17" t="s">
        <v>50</v>
      </c>
      <c r="D8" s="18">
        <v>1</v>
      </c>
      <c r="E8" s="19" t="s">
        <v>28</v>
      </c>
      <c r="F8" s="19" t="s">
        <v>27</v>
      </c>
      <c r="G8" s="18" t="s">
        <v>26</v>
      </c>
      <c r="H8" s="8" t="s">
        <v>153</v>
      </c>
      <c r="I8" s="8" t="s">
        <v>154</v>
      </c>
      <c r="J8" s="19" t="s">
        <v>150</v>
      </c>
      <c r="K8" s="12" t="s">
        <v>23</v>
      </c>
    </row>
    <row r="9" spans="1:13" x14ac:dyDescent="0.25">
      <c r="A9" s="4"/>
      <c r="B9" s="10">
        <v>2</v>
      </c>
      <c r="C9" s="17" t="s">
        <v>56</v>
      </c>
      <c r="D9" s="18">
        <v>1</v>
      </c>
      <c r="E9" s="19" t="s">
        <v>82</v>
      </c>
      <c r="F9" s="19" t="s">
        <v>81</v>
      </c>
      <c r="G9" s="18" t="s">
        <v>26</v>
      </c>
      <c r="H9" s="8" t="s">
        <v>153</v>
      </c>
      <c r="I9" s="8" t="s">
        <v>154</v>
      </c>
      <c r="J9" s="19" t="s">
        <v>138</v>
      </c>
      <c r="K9" s="12" t="s">
        <v>55</v>
      </c>
    </row>
    <row r="10" spans="1:13" x14ac:dyDescent="0.25">
      <c r="A10" s="4"/>
      <c r="B10" s="10">
        <v>3</v>
      </c>
      <c r="C10" s="21" t="s">
        <v>24</v>
      </c>
      <c r="D10" s="8">
        <v>1</v>
      </c>
      <c r="E10" s="9" t="s">
        <v>25</v>
      </c>
      <c r="F10" s="9" t="s">
        <v>168</v>
      </c>
      <c r="G10" s="8" t="s">
        <v>169</v>
      </c>
      <c r="H10" s="8" t="s">
        <v>153</v>
      </c>
      <c r="I10" s="18" t="s">
        <v>154</v>
      </c>
      <c r="J10" s="9" t="s">
        <v>138</v>
      </c>
      <c r="K10" s="12" t="s">
        <v>167</v>
      </c>
    </row>
    <row r="11" spans="1:13" x14ac:dyDescent="0.25">
      <c r="A11" s="4"/>
      <c r="B11" s="10">
        <v>4</v>
      </c>
      <c r="C11" s="17" t="s">
        <v>46</v>
      </c>
      <c r="D11" s="18">
        <v>1</v>
      </c>
      <c r="E11" s="19" t="s">
        <v>32</v>
      </c>
      <c r="F11" s="19" t="s">
        <v>31</v>
      </c>
      <c r="G11" s="18" t="s">
        <v>30</v>
      </c>
      <c r="H11" s="8" t="s">
        <v>153</v>
      </c>
      <c r="I11" s="18" t="s">
        <v>154</v>
      </c>
      <c r="J11" s="19" t="s">
        <v>33</v>
      </c>
      <c r="K11" s="12" t="s">
        <v>29</v>
      </c>
    </row>
    <row r="12" spans="1:13" x14ac:dyDescent="0.25">
      <c r="A12" s="4"/>
      <c r="B12" s="10">
        <v>5</v>
      </c>
      <c r="C12" s="15" t="s">
        <v>47</v>
      </c>
      <c r="D12" s="8">
        <v>1</v>
      </c>
      <c r="E12" s="9" t="s">
        <v>21</v>
      </c>
      <c r="F12" s="9" t="s">
        <v>20</v>
      </c>
      <c r="G12" s="8" t="s">
        <v>19</v>
      </c>
      <c r="H12" s="8" t="s">
        <v>153</v>
      </c>
      <c r="I12" s="9" t="s">
        <v>154</v>
      </c>
      <c r="J12" s="9" t="s">
        <v>22</v>
      </c>
      <c r="K12" s="12" t="s">
        <v>18</v>
      </c>
    </row>
    <row r="13" spans="1:13" x14ac:dyDescent="0.25">
      <c r="A13" s="4"/>
      <c r="B13" s="10">
        <v>6</v>
      </c>
      <c r="C13" s="15" t="s">
        <v>45</v>
      </c>
      <c r="D13" s="8">
        <v>1</v>
      </c>
      <c r="E13" s="9" t="s">
        <v>13</v>
      </c>
      <c r="F13" s="9" t="s">
        <v>12</v>
      </c>
      <c r="G13" s="8" t="s">
        <v>11</v>
      </c>
      <c r="H13" s="8" t="s">
        <v>153</v>
      </c>
      <c r="I13" s="9" t="s">
        <v>154</v>
      </c>
      <c r="J13" s="9" t="s">
        <v>14</v>
      </c>
      <c r="K13" s="12" t="s">
        <v>10</v>
      </c>
    </row>
    <row r="14" spans="1:13" x14ac:dyDescent="0.25">
      <c r="A14" s="4"/>
      <c r="B14" s="10">
        <v>7</v>
      </c>
      <c r="C14" s="17" t="s">
        <v>48</v>
      </c>
      <c r="D14" s="18">
        <v>1</v>
      </c>
      <c r="E14" s="19" t="s">
        <v>136</v>
      </c>
      <c r="F14" s="19" t="s">
        <v>139</v>
      </c>
      <c r="G14" s="18" t="s">
        <v>137</v>
      </c>
      <c r="H14" s="8" t="s">
        <v>154</v>
      </c>
      <c r="I14" s="9" t="s">
        <v>154</v>
      </c>
      <c r="J14" s="19" t="s">
        <v>138</v>
      </c>
      <c r="K14" s="12" t="s">
        <v>140</v>
      </c>
    </row>
    <row r="15" spans="1:13" x14ac:dyDescent="0.25">
      <c r="A15" s="4"/>
      <c r="B15" s="10">
        <v>8</v>
      </c>
      <c r="C15" s="17" t="s">
        <v>49</v>
      </c>
      <c r="D15" s="18">
        <v>1</v>
      </c>
      <c r="E15" s="19" t="s">
        <v>123</v>
      </c>
      <c r="F15" s="19" t="s">
        <v>15</v>
      </c>
      <c r="G15" s="18" t="s">
        <v>16</v>
      </c>
      <c r="H15" s="8" t="s">
        <v>153</v>
      </c>
      <c r="I15" s="9" t="s">
        <v>154</v>
      </c>
      <c r="J15" s="19" t="s">
        <v>138</v>
      </c>
      <c r="K15" s="12" t="s">
        <v>17</v>
      </c>
    </row>
    <row r="16" spans="1:13" x14ac:dyDescent="0.25">
      <c r="A16" s="4"/>
      <c r="B16" s="10">
        <v>9</v>
      </c>
      <c r="C16" s="17" t="s">
        <v>175</v>
      </c>
      <c r="D16" s="18">
        <v>1</v>
      </c>
      <c r="E16" s="19" t="s">
        <v>180</v>
      </c>
      <c r="F16" s="19" t="s">
        <v>177</v>
      </c>
      <c r="G16" s="18" t="s">
        <v>178</v>
      </c>
      <c r="H16" s="8" t="s">
        <v>153</v>
      </c>
      <c r="I16" s="8" t="s">
        <v>154</v>
      </c>
      <c r="J16" s="19" t="s">
        <v>176</v>
      </c>
      <c r="K16" s="12" t="s">
        <v>179</v>
      </c>
    </row>
    <row r="17" spans="1:11" x14ac:dyDescent="0.25">
      <c r="A17" s="4"/>
      <c r="B17" s="10">
        <v>10</v>
      </c>
      <c r="C17" s="17" t="s">
        <v>53</v>
      </c>
      <c r="D17" s="18">
        <v>1</v>
      </c>
      <c r="E17" s="19" t="s">
        <v>39</v>
      </c>
      <c r="F17" s="19" t="s">
        <v>38</v>
      </c>
      <c r="G17" s="18" t="s">
        <v>37</v>
      </c>
      <c r="H17" s="8" t="s">
        <v>153</v>
      </c>
      <c r="I17" s="8" t="s">
        <v>154</v>
      </c>
      <c r="J17" s="19" t="s">
        <v>40</v>
      </c>
      <c r="K17" s="22" t="s">
        <v>34</v>
      </c>
    </row>
    <row r="18" spans="1:11" x14ac:dyDescent="0.25">
      <c r="A18" s="4"/>
      <c r="B18" s="10">
        <v>11</v>
      </c>
      <c r="C18" s="21" t="s">
        <v>124</v>
      </c>
      <c r="D18" s="23">
        <v>1</v>
      </c>
      <c r="E18" s="9" t="s">
        <v>125</v>
      </c>
      <c r="F18" s="9" t="s">
        <v>126</v>
      </c>
      <c r="G18" s="8" t="s">
        <v>127</v>
      </c>
      <c r="H18" s="8" t="s">
        <v>153</v>
      </c>
      <c r="I18" s="8" t="s">
        <v>154</v>
      </c>
      <c r="J18" s="9" t="s">
        <v>138</v>
      </c>
      <c r="K18" s="24" t="s">
        <v>128</v>
      </c>
    </row>
    <row r="19" spans="1:11" x14ac:dyDescent="0.25">
      <c r="A19" s="4"/>
      <c r="B19" s="10">
        <v>12</v>
      </c>
      <c r="C19" s="17" t="s">
        <v>51</v>
      </c>
      <c r="D19" s="18">
        <v>1</v>
      </c>
      <c r="E19" s="19" t="s">
        <v>79</v>
      </c>
      <c r="F19" s="19" t="s">
        <v>42</v>
      </c>
      <c r="G19" s="18" t="s">
        <v>41</v>
      </c>
      <c r="H19" s="8" t="s">
        <v>153</v>
      </c>
      <c r="I19" s="8" t="s">
        <v>154</v>
      </c>
      <c r="J19" s="19" t="s">
        <v>43</v>
      </c>
      <c r="K19" s="12" t="s">
        <v>35</v>
      </c>
    </row>
    <row r="20" spans="1:11" x14ac:dyDescent="0.25">
      <c r="A20" s="4"/>
      <c r="B20" s="10">
        <v>13</v>
      </c>
      <c r="C20" s="17" t="s">
        <v>52</v>
      </c>
      <c r="D20" s="18">
        <v>1</v>
      </c>
      <c r="E20" s="19" t="s">
        <v>80</v>
      </c>
      <c r="F20" s="19" t="s">
        <v>44</v>
      </c>
      <c r="G20" s="18" t="s">
        <v>41</v>
      </c>
      <c r="H20" s="8" t="s">
        <v>153</v>
      </c>
      <c r="I20" s="8" t="s">
        <v>154</v>
      </c>
      <c r="J20" s="19" t="s">
        <v>43</v>
      </c>
      <c r="K20" s="12" t="s">
        <v>36</v>
      </c>
    </row>
    <row r="21" spans="1:11" x14ac:dyDescent="0.25">
      <c r="A21" s="4"/>
      <c r="B21" s="10">
        <v>14</v>
      </c>
      <c r="C21" s="17" t="s">
        <v>58</v>
      </c>
      <c r="D21" s="18">
        <v>3</v>
      </c>
      <c r="E21" s="19" t="s">
        <v>89</v>
      </c>
      <c r="F21" s="19" t="s">
        <v>88</v>
      </c>
      <c r="G21" s="18" t="s">
        <v>87</v>
      </c>
      <c r="H21" s="8" t="s">
        <v>153</v>
      </c>
      <c r="I21" s="18" t="s">
        <v>154</v>
      </c>
      <c r="J21" s="19" t="s">
        <v>86</v>
      </c>
      <c r="K21" s="12" t="s">
        <v>57</v>
      </c>
    </row>
    <row r="22" spans="1:11" x14ac:dyDescent="0.25">
      <c r="A22" s="4"/>
      <c r="B22" s="10">
        <v>15</v>
      </c>
      <c r="C22" s="17" t="s">
        <v>60</v>
      </c>
      <c r="D22" s="18">
        <v>2</v>
      </c>
      <c r="E22" s="19" t="s">
        <v>85</v>
      </c>
      <c r="F22" s="19" t="s">
        <v>84</v>
      </c>
      <c r="G22" s="18" t="s">
        <v>83</v>
      </c>
      <c r="H22" s="8" t="s">
        <v>153</v>
      </c>
      <c r="I22" s="18" t="s">
        <v>154</v>
      </c>
      <c r="J22" s="19" t="s">
        <v>86</v>
      </c>
      <c r="K22" s="12" t="s">
        <v>59</v>
      </c>
    </row>
    <row r="23" spans="1:11" x14ac:dyDescent="0.25">
      <c r="A23" s="4"/>
      <c r="B23" s="10">
        <v>16</v>
      </c>
      <c r="C23" s="17" t="s">
        <v>61</v>
      </c>
      <c r="D23" s="18">
        <v>2</v>
      </c>
      <c r="E23" s="19" t="s">
        <v>91</v>
      </c>
      <c r="F23" s="19" t="s">
        <v>90</v>
      </c>
      <c r="G23" s="18" t="s">
        <v>83</v>
      </c>
      <c r="H23" s="8" t="s">
        <v>153</v>
      </c>
      <c r="I23" s="18" t="s">
        <v>154</v>
      </c>
      <c r="J23" s="19" t="s">
        <v>86</v>
      </c>
      <c r="K23" s="12" t="s">
        <v>62</v>
      </c>
    </row>
    <row r="24" spans="1:11" x14ac:dyDescent="0.25">
      <c r="A24" s="4"/>
      <c r="B24" s="10">
        <v>17</v>
      </c>
      <c r="C24" s="17" t="s">
        <v>64</v>
      </c>
      <c r="D24" s="18">
        <v>1</v>
      </c>
      <c r="E24" s="19" t="s">
        <v>94</v>
      </c>
      <c r="F24" s="19" t="s">
        <v>93</v>
      </c>
      <c r="G24" s="18" t="s">
        <v>92</v>
      </c>
      <c r="H24" s="8" t="s">
        <v>153</v>
      </c>
      <c r="I24" s="18" t="s">
        <v>154</v>
      </c>
      <c r="J24" s="19" t="s">
        <v>86</v>
      </c>
      <c r="K24" s="12" t="s">
        <v>63</v>
      </c>
    </row>
    <row r="25" spans="1:11" ht="38.25" x14ac:dyDescent="0.25">
      <c r="A25" s="4"/>
      <c r="B25" s="10">
        <v>18</v>
      </c>
      <c r="C25" s="17" t="s">
        <v>118</v>
      </c>
      <c r="D25" s="18">
        <v>19</v>
      </c>
      <c r="E25" s="19" t="s">
        <v>96</v>
      </c>
      <c r="F25" s="19" t="s">
        <v>95</v>
      </c>
      <c r="G25" s="18" t="s">
        <v>87</v>
      </c>
      <c r="H25" s="8" t="s">
        <v>153</v>
      </c>
      <c r="I25" s="18" t="s">
        <v>154</v>
      </c>
      <c r="J25" s="19" t="s">
        <v>86</v>
      </c>
      <c r="K25" s="12" t="s">
        <v>65</v>
      </c>
    </row>
    <row r="26" spans="1:11" ht="25.5" x14ac:dyDescent="0.25">
      <c r="A26" s="4"/>
      <c r="B26" s="10">
        <v>19</v>
      </c>
      <c r="C26" s="17" t="s">
        <v>67</v>
      </c>
      <c r="D26" s="18">
        <v>13</v>
      </c>
      <c r="E26" s="19" t="s">
        <v>99</v>
      </c>
      <c r="F26" s="19" t="s">
        <v>98</v>
      </c>
      <c r="G26" s="18" t="s">
        <v>97</v>
      </c>
      <c r="H26" s="8" t="s">
        <v>153</v>
      </c>
      <c r="I26" s="18" t="s">
        <v>154</v>
      </c>
      <c r="J26" s="19" t="s">
        <v>86</v>
      </c>
      <c r="K26" s="12" t="s">
        <v>66</v>
      </c>
    </row>
    <row r="27" spans="1:11" x14ac:dyDescent="0.25">
      <c r="A27" s="4"/>
      <c r="B27" s="10">
        <v>20</v>
      </c>
      <c r="C27" s="17" t="s">
        <v>69</v>
      </c>
      <c r="D27" s="18">
        <v>5</v>
      </c>
      <c r="E27" s="19" t="s">
        <v>102</v>
      </c>
      <c r="F27" s="19" t="s">
        <v>101</v>
      </c>
      <c r="G27" s="18" t="s">
        <v>100</v>
      </c>
      <c r="H27" s="8" t="s">
        <v>153</v>
      </c>
      <c r="I27" s="18" t="s">
        <v>154</v>
      </c>
      <c r="J27" s="19" t="s">
        <v>86</v>
      </c>
      <c r="K27" s="12" t="s">
        <v>68</v>
      </c>
    </row>
    <row r="28" spans="1:11" x14ac:dyDescent="0.25">
      <c r="A28" s="4"/>
      <c r="B28" s="10">
        <v>21</v>
      </c>
      <c r="C28" s="17" t="s">
        <v>141</v>
      </c>
      <c r="D28" s="18">
        <v>2</v>
      </c>
      <c r="E28" s="19" t="s">
        <v>105</v>
      </c>
      <c r="F28" s="19" t="s">
        <v>104</v>
      </c>
      <c r="G28" s="18" t="s">
        <v>103</v>
      </c>
      <c r="H28" s="8" t="s">
        <v>153</v>
      </c>
      <c r="I28" s="18" t="s">
        <v>153</v>
      </c>
      <c r="J28" s="19" t="s">
        <v>86</v>
      </c>
      <c r="K28" s="12" t="s">
        <v>70</v>
      </c>
    </row>
    <row r="29" spans="1:11" x14ac:dyDescent="0.25">
      <c r="A29" s="4"/>
      <c r="B29" s="10">
        <v>22</v>
      </c>
      <c r="C29" s="17" t="s">
        <v>142</v>
      </c>
      <c r="D29" s="18">
        <v>2</v>
      </c>
      <c r="E29" s="19" t="s">
        <v>145</v>
      </c>
      <c r="F29" s="19" t="s">
        <v>147</v>
      </c>
      <c r="G29" s="18" t="s">
        <v>103</v>
      </c>
      <c r="H29" s="8" t="s">
        <v>153</v>
      </c>
      <c r="I29" s="18" t="s">
        <v>154</v>
      </c>
      <c r="J29" s="19" t="s">
        <v>86</v>
      </c>
      <c r="K29" s="12" t="s">
        <v>146</v>
      </c>
    </row>
    <row r="30" spans="1:11" x14ac:dyDescent="0.25">
      <c r="A30" s="4"/>
      <c r="B30" s="10">
        <v>23</v>
      </c>
      <c r="C30" s="17" t="s">
        <v>120</v>
      </c>
      <c r="D30" s="18">
        <v>4</v>
      </c>
      <c r="E30" s="19" t="s">
        <v>122</v>
      </c>
      <c r="F30" s="19" t="s">
        <v>121</v>
      </c>
      <c r="G30" s="18" t="s">
        <v>103</v>
      </c>
      <c r="H30" s="9" t="s">
        <v>154</v>
      </c>
      <c r="I30" s="9" t="s">
        <v>154</v>
      </c>
      <c r="J30" s="19" t="s">
        <v>86</v>
      </c>
      <c r="K30" s="12" t="s">
        <v>119</v>
      </c>
    </row>
    <row r="31" spans="1:11" x14ac:dyDescent="0.25">
      <c r="A31" s="4"/>
      <c r="B31" s="10">
        <v>24</v>
      </c>
      <c r="C31" s="17" t="s">
        <v>72</v>
      </c>
      <c r="D31" s="18">
        <v>1</v>
      </c>
      <c r="E31" s="19" t="s">
        <v>108</v>
      </c>
      <c r="F31" s="19" t="s">
        <v>107</v>
      </c>
      <c r="G31" s="18" t="s">
        <v>106</v>
      </c>
      <c r="H31" s="9" t="s">
        <v>154</v>
      </c>
      <c r="I31" s="9" t="s">
        <v>154</v>
      </c>
      <c r="J31" s="19" t="s">
        <v>86</v>
      </c>
      <c r="K31" s="12" t="s">
        <v>71</v>
      </c>
    </row>
    <row r="32" spans="1:11" x14ac:dyDescent="0.25">
      <c r="A32" s="4"/>
      <c r="B32" s="10">
        <v>25</v>
      </c>
      <c r="C32" s="17" t="s">
        <v>117</v>
      </c>
      <c r="D32" s="18">
        <v>3</v>
      </c>
      <c r="E32" s="19" t="s">
        <v>110</v>
      </c>
      <c r="F32" s="19" t="s">
        <v>109</v>
      </c>
      <c r="G32" s="18" t="s">
        <v>106</v>
      </c>
      <c r="H32" s="9" t="s">
        <v>153</v>
      </c>
      <c r="I32" s="9" t="s">
        <v>154</v>
      </c>
      <c r="J32" s="19" t="s">
        <v>86</v>
      </c>
      <c r="K32" s="12" t="s">
        <v>73</v>
      </c>
    </row>
    <row r="33" spans="1:11" ht="25.5" x14ac:dyDescent="0.25">
      <c r="A33" s="4"/>
      <c r="B33" s="10">
        <v>26</v>
      </c>
      <c r="C33" s="17" t="s">
        <v>143</v>
      </c>
      <c r="D33" s="18">
        <v>8</v>
      </c>
      <c r="E33" s="19" t="s">
        <v>112</v>
      </c>
      <c r="F33" s="19" t="s">
        <v>111</v>
      </c>
      <c r="G33" s="18" t="s">
        <v>106</v>
      </c>
      <c r="H33" s="9" t="s">
        <v>153</v>
      </c>
      <c r="I33" s="9" t="s">
        <v>154</v>
      </c>
      <c r="J33" s="19" t="s">
        <v>86</v>
      </c>
      <c r="K33" s="12" t="s">
        <v>74</v>
      </c>
    </row>
    <row r="34" spans="1:11" x14ac:dyDescent="0.25">
      <c r="A34" s="4"/>
      <c r="B34" s="10">
        <v>27</v>
      </c>
      <c r="C34" s="17" t="s">
        <v>76</v>
      </c>
      <c r="D34" s="18">
        <v>1</v>
      </c>
      <c r="E34" s="19" t="s">
        <v>114</v>
      </c>
      <c r="F34" s="19" t="s">
        <v>113</v>
      </c>
      <c r="G34" s="18" t="s">
        <v>106</v>
      </c>
      <c r="H34" s="9" t="s">
        <v>153</v>
      </c>
      <c r="I34" s="9" t="s">
        <v>154</v>
      </c>
      <c r="J34" s="19" t="s">
        <v>86</v>
      </c>
      <c r="K34" s="12" t="s">
        <v>75</v>
      </c>
    </row>
    <row r="35" spans="1:11" x14ac:dyDescent="0.25">
      <c r="A35" s="4"/>
      <c r="B35" s="10">
        <v>28</v>
      </c>
      <c r="C35" s="17" t="s">
        <v>78</v>
      </c>
      <c r="D35" s="18">
        <v>1</v>
      </c>
      <c r="E35" s="19" t="s">
        <v>116</v>
      </c>
      <c r="F35" s="19" t="s">
        <v>115</v>
      </c>
      <c r="G35" s="18" t="s">
        <v>103</v>
      </c>
      <c r="H35" s="9" t="s">
        <v>153</v>
      </c>
      <c r="I35" s="9" t="s">
        <v>154</v>
      </c>
      <c r="J35" s="19" t="s">
        <v>86</v>
      </c>
      <c r="K35" s="12" t="s">
        <v>77</v>
      </c>
    </row>
    <row r="36" spans="1:11" x14ac:dyDescent="0.25">
      <c r="A36" s="4"/>
      <c r="B36" s="10">
        <v>29</v>
      </c>
      <c r="C36" s="17" t="s">
        <v>54</v>
      </c>
      <c r="D36" s="18">
        <v>1</v>
      </c>
      <c r="E36" s="19" t="s">
        <v>157</v>
      </c>
      <c r="F36" s="19" t="s">
        <v>164</v>
      </c>
      <c r="G36" s="18" t="s">
        <v>162</v>
      </c>
      <c r="H36" s="9" t="s">
        <v>154</v>
      </c>
      <c r="I36" s="9" t="s">
        <v>154</v>
      </c>
      <c r="J36" s="19" t="s">
        <v>181</v>
      </c>
      <c r="K36" s="12" t="s">
        <v>163</v>
      </c>
    </row>
    <row r="37" spans="1:11" x14ac:dyDescent="0.25">
      <c r="A37" s="4"/>
      <c r="B37" s="31">
        <v>30</v>
      </c>
      <c r="C37" s="17" t="s">
        <v>156</v>
      </c>
      <c r="D37" s="18">
        <v>4</v>
      </c>
      <c r="E37" s="19" t="s">
        <v>166</v>
      </c>
      <c r="F37" s="19" t="s">
        <v>165</v>
      </c>
      <c r="G37" s="18" t="s">
        <v>162</v>
      </c>
      <c r="H37" s="19" t="s">
        <v>154</v>
      </c>
      <c r="I37" s="19" t="s">
        <v>154</v>
      </c>
      <c r="J37" s="19" t="s">
        <v>181</v>
      </c>
      <c r="K37" s="32" t="s">
        <v>163</v>
      </c>
    </row>
    <row r="38" spans="1:11" x14ac:dyDescent="0.25">
      <c r="A38" s="4"/>
      <c r="B38" s="31">
        <v>31</v>
      </c>
      <c r="C38" s="17" t="s">
        <v>155</v>
      </c>
      <c r="D38" s="18">
        <v>4</v>
      </c>
      <c r="E38" s="19" t="s">
        <v>158</v>
      </c>
      <c r="F38" s="19" t="s">
        <v>159</v>
      </c>
      <c r="G38" s="18" t="s">
        <v>160</v>
      </c>
      <c r="H38" s="19" t="s">
        <v>153</v>
      </c>
      <c r="I38" s="19" t="s">
        <v>154</v>
      </c>
      <c r="J38" s="19" t="s">
        <v>181</v>
      </c>
      <c r="K38" s="32" t="s">
        <v>161</v>
      </c>
    </row>
    <row r="39" spans="1:11" ht="15.75" thickBot="1" x14ac:dyDescent="0.3">
      <c r="A39" s="4"/>
      <c r="B39" s="16"/>
      <c r="C39" s="17" t="s">
        <v>9</v>
      </c>
      <c r="D39" s="20">
        <f>SUM(D8:D38)</f>
        <v>89</v>
      </c>
      <c r="E39" s="11"/>
      <c r="F39" s="11"/>
      <c r="G39" s="11"/>
      <c r="H39" s="11"/>
      <c r="I39" s="11"/>
      <c r="J39" s="11"/>
      <c r="K39" s="13"/>
    </row>
    <row r="40" spans="1:11" x14ac:dyDescent="0.25">
      <c r="A40" s="3"/>
      <c r="B40" s="3"/>
      <c r="C40" s="34"/>
      <c r="D40" s="34"/>
      <c r="E40" s="3"/>
      <c r="F40" s="3"/>
      <c r="G40" s="3"/>
    </row>
    <row r="41" spans="1:11" x14ac:dyDescent="0.25">
      <c r="A41" s="3"/>
      <c r="B41" s="3"/>
      <c r="E41" s="3"/>
      <c r="F41" s="27" t="s">
        <v>129</v>
      </c>
    </row>
    <row r="42" spans="1:11" x14ac:dyDescent="0.25">
      <c r="F42" s="27" t="s">
        <v>131</v>
      </c>
      <c r="G42" s="28" t="s">
        <v>132</v>
      </c>
      <c r="H42" s="27" t="s">
        <v>130</v>
      </c>
      <c r="I42" s="27" t="s">
        <v>133</v>
      </c>
    </row>
    <row r="43" spans="1:11" x14ac:dyDescent="0.25">
      <c r="F43" t="s">
        <v>134</v>
      </c>
      <c r="G43" s="29">
        <v>1.1000000000000001</v>
      </c>
      <c r="H43" t="s">
        <v>171</v>
      </c>
      <c r="I43" t="s">
        <v>148</v>
      </c>
    </row>
    <row r="44" spans="1:11" x14ac:dyDescent="0.25">
      <c r="F44" t="s">
        <v>135</v>
      </c>
      <c r="G44" s="29">
        <v>1.1000000000000001</v>
      </c>
      <c r="H44" t="s">
        <v>171</v>
      </c>
      <c r="I44" t="s">
        <v>144</v>
      </c>
    </row>
    <row r="45" spans="1:11" x14ac:dyDescent="0.25">
      <c r="C45" s="25"/>
      <c r="F45" t="s">
        <v>149</v>
      </c>
      <c r="G45" s="29">
        <v>1.2</v>
      </c>
      <c r="H45" t="s">
        <v>171</v>
      </c>
      <c r="I45" t="s">
        <v>170</v>
      </c>
    </row>
    <row r="46" spans="1:11" x14ac:dyDescent="0.25">
      <c r="C46" s="26"/>
    </row>
  </sheetData>
  <mergeCells count="1">
    <mergeCell ref="B2:K2"/>
  </mergeCells>
  <hyperlinks>
    <hyperlink ref="K13" r:id="rId1"/>
    <hyperlink ref="K12" r:id="rId2"/>
    <hyperlink ref="K8" r:id="rId3"/>
    <hyperlink ref="K11" r:id="rId4"/>
    <hyperlink ref="K17" r:id="rId5"/>
    <hyperlink ref="K19" r:id="rId6"/>
    <hyperlink ref="K20" r:id="rId7"/>
    <hyperlink ref="K9" r:id="rId8"/>
    <hyperlink ref="K21" r:id="rId9"/>
    <hyperlink ref="K22" r:id="rId10"/>
    <hyperlink ref="K23" r:id="rId11"/>
    <hyperlink ref="K24" r:id="rId12"/>
    <hyperlink ref="K25" r:id="rId13"/>
    <hyperlink ref="K27" r:id="rId14"/>
    <hyperlink ref="K28" r:id="rId15"/>
    <hyperlink ref="K31" r:id="rId16"/>
    <hyperlink ref="K32" r:id="rId17"/>
    <hyperlink ref="K33" r:id="rId18"/>
    <hyperlink ref="K34" r:id="rId19"/>
    <hyperlink ref="K35" r:id="rId20"/>
    <hyperlink ref="K26" r:id="rId21"/>
    <hyperlink ref="K10" r:id="rId22"/>
    <hyperlink ref="K30" r:id="rId23"/>
    <hyperlink ref="K18" r:id="rId24"/>
    <hyperlink ref="K14" r:id="rId25"/>
    <hyperlink ref="K29" r:id="rId26"/>
    <hyperlink ref="K38" r:id="rId27"/>
    <hyperlink ref="K36" r:id="rId28"/>
    <hyperlink ref="K37" r:id="rId29"/>
    <hyperlink ref="K16" r:id="rId30"/>
  </hyperlinks>
  <pageMargins left="0.7" right="0.7" top="0.75" bottom="0.75" header="0.3" footer="0.3"/>
  <pageSetup paperSize="9" scale="49" orientation="landscape" r:id="rId31"/>
  <legacyDrawing r:id="rId3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defaultColWidth="11.4257812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defaultColWidth="11.425781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Rowan Gifford</cp:lastModifiedBy>
  <cp:lastPrinted>2012-07-30T12:19:09Z</cp:lastPrinted>
  <dcterms:created xsi:type="dcterms:W3CDTF">2008-02-20T11:26:06Z</dcterms:created>
  <dcterms:modified xsi:type="dcterms:W3CDTF">2015-05-22T22:23:20Z</dcterms:modified>
</cp:coreProperties>
</file>